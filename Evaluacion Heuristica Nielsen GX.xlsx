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</sheets>
  <definedNames/>
  <calcPr/>
  <extLst>
    <ext uri="GoogleSheetsCustomDataVersion2">
      <go:sheetsCustomData xmlns:go="http://customooxmlschemas.google.com/" r:id="rId8" roundtripDataChecksum="3jUCPfQc7hXulHUqR4ncqlGxa4Z8Mt8+41shLfrTc80="/>
    </ext>
  </extLst>
</workbook>
</file>

<file path=xl/sharedStrings.xml><?xml version="1.0" encoding="utf-8"?>
<sst xmlns="http://schemas.openxmlformats.org/spreadsheetml/2006/main" count="155" uniqueCount="139">
  <si>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</si>
  <si>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</si>
  <si>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</si>
  <si>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</si>
  <si>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</si>
  <si>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</si>
  <si>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</si>
  <si>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</si>
  <si>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</si>
  <si>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</si>
  <si>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</si>
  <si>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</si>
  <si>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</si>
  <si>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</si>
  <si>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</si>
  <si>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</si>
  <si>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</si>
  <si>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</si>
  <si>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</si>
  <si>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</si>
  <si>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</si>
  <si>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</si>
  <si>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</si>
  <si>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</si>
  <si>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</si>
  <si>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</si>
  <si>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Prototipo</t>
  </si>
  <si>
    <t>Severidad
(0-4)</t>
  </si>
  <si>
    <t>Evidencia
(captura/URL)</t>
  </si>
  <si>
    <t>Recomendacion de mejora</t>
  </si>
  <si>
    <t>Evaluador</t>
  </si>
  <si>
    <t>H1 - Visibilidad del estado del sistema</t>
  </si>
  <si>
    <t>Al registrar o editar comunidades, torres, unidades, bodegas o estacionamientos, el sistema actualiza los datos, pero la confirmación visual puede pasar desapercibida para el usuario.</t>
  </si>
  <si>
    <t>Dashboard, Comunidades, Torres y Gestión de Unidades</t>
  </si>
  <si>
    <t>Actualización de tablas, KPIs y notificaciones después de guardar cambios.</t>
  </si>
  <si>
    <t>Incorporar mensajes de éxito más visibles tipo toast o alerta temporal después de guardar, editar o asignar activos.</t>
  </si>
  <si>
    <t>Experto UX</t>
  </si>
  <si>
    <t>H2 - Sistema y mundo real</t>
  </si>
  <si>
    <t>Algunos conceptos del condominio requieren lenguaje más claro para usuarios no técnicos, especialmente la diferencia entre departamentos deshabitados y bodegas o estacionamientos desocupados.</t>
  </si>
  <si>
    <t>Gestión de Unidades y Estado de Ocupación</t>
  </si>
  <si>
    <t>Uso de estados Habitado, Deshabitado, Ocupado y Desocupado.</t>
  </si>
  <si>
    <t>Agregar textos de ayuda breves que expliquen la diferencia entre estados según el tipo de activo.</t>
  </si>
  <si>
    <t>H3 - Control y libertad</t>
  </si>
  <si>
    <t>En formularios de edición, el usuario puede guardar cambios relevantes sin una confirmación previa en acciones sensibles como cambios de estado o asignaciones de activos.</t>
  </si>
  <si>
    <t>Editar Unidad, Asignación de Bodega y Estacionamiento</t>
  </si>
  <si>
    <t>Modales de edición y asignación de activos.</t>
  </si>
  <si>
    <t>Incorporar confirmación antes de guardar cambios críticos o permitir deshacer la última acción realizada.</t>
  </si>
  <si>
    <t>H4 - Consistencia y estandares</t>
  </si>
  <si>
    <t>El sistema utiliza varios módulos relacionados entre sí, por lo que cualquier diferencia entre Dashboard, Estado de Ocupación y Gestión de Unidades puede generar confusión si no se mantiene la misma terminología y datos.</t>
  </si>
  <si>
    <t>Dashboard, Estado de Ocupación y Gestión de Unidades</t>
  </si>
  <si>
    <t>Comparación de KPIs, gráficos y tablas entre módulos.</t>
  </si>
  <si>
    <t>Mantener una fuente única de datos y estandarizar nombres, estados, colores e indicadores en todos los módulos.</t>
  </si>
  <si>
    <t>H5 - Prevencion de errores</t>
  </si>
  <si>
    <t>El usuario podría intentar registrar unidades en torres fuera de servicio, ingresar superficies inválidas o asignar activos ya ocupados si no existen validaciones claras.</t>
  </si>
  <si>
    <t>Registro y Edición de Unidades, Bodegas y Estacionamientos</t>
  </si>
  <si>
    <t>Formularios de registro y edición con reglas de negocio.</t>
  </si>
  <si>
    <t>Mantener validaciones preventivas antes de guardar, bloqueando torres fuera de servicio, IDs duplicados, superficies inválidas y activos ya asignados.</t>
  </si>
  <si>
    <t>H7 - Flexibilidad y eficiencia</t>
  </si>
  <si>
    <t>El sistema permite gestionar activos, pero no considera acciones masivas para actualizar varios departamentos, bodegas o estacionamientos al mismo tiempo.</t>
  </si>
  <si>
    <t>Tablas, filtros y subapartados de Departamentos, Bodegas y Estacionamientos.</t>
  </si>
  <si>
    <t>Incorporar en futuras versiones edición múltiple, filtros avanzados y acciones rápidas para administradores.</t>
  </si>
  <si>
    <t>H10 - Ayuda y documentacion</t>
  </si>
  <si>
    <t>El prototipo no incluye una sección de ayuda contextual que explique conceptos del subsistema como comunidad, torre, unidad, bodega, estacionamiento o estado de ocupación.</t>
  </si>
  <si>
    <t>Todo el Subsistema de Estructura y Activos</t>
  </si>
  <si>
    <t>Ausencia de íconos de ayuda o documentación contextual en los módulos principales.</t>
  </si>
  <si>
    <t>Agregar tooltips, íconos de ayuda o una sección breve de documentación dentro del sistema.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</si>
  <si>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</si>
  <si>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</si>
  <si>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</si>
  <si>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</si>
  <si>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</si>
  <si>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</si>
  <si>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</si>
  <si>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</si>
  <si>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</si>
  <si>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</si>
  <si>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</si>
  <si>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</si>
  <si>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</si>
  <si>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</si>
  <si>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H1 - Visibilidad del estado</t>
  </si>
  <si>
    <t>H6 - Reconocimiento &gt; recuerdo</t>
  </si>
  <si>
    <t>H8 - Diseno minimalista</t>
  </si>
  <si>
    <t>H9 - Recuperacion de errores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</si>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</sst>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9" fillId="0" fontId="5" numFmtId="0" xfId="0" applyAlignment="1" applyBorder="1" applyFont="1">
      <alignment horizontal="left" readingOrder="1"/>
    </xf>
    <xf borderId="10" fillId="0" fontId="5" numFmtId="0" xfId="0" applyAlignment="1" applyBorder="1" applyFont="1">
      <alignment horizontal="left" readingOrder="1" shrinkToFit="0" wrapText="1"/>
    </xf>
    <xf borderId="10" fillId="0" fontId="5" numFmtId="0" xfId="0" applyAlignment="1" applyBorder="1" applyFont="1">
      <alignment horizontal="left" readingOrder="1"/>
    </xf>
    <xf borderId="11" fillId="0" fontId="5" numFmtId="0" xfId="0" applyAlignment="1" applyBorder="1" applyFont="1">
      <alignment horizontal="left" readingOrder="1"/>
    </xf>
    <xf borderId="8" fillId="4" fontId="9" numFmtId="0" xfId="0" applyAlignment="1" applyBorder="1" applyFill="1" applyFont="1">
      <alignment horizontal="center" shrinkToFit="0" vertical="center" wrapText="1"/>
    </xf>
    <xf borderId="12" fillId="0" fontId="5" numFmtId="0" xfId="0" applyAlignment="1" applyBorder="1" applyFont="1">
      <alignment horizontal="left" readingOrder="1"/>
    </xf>
    <xf borderId="13" fillId="0" fontId="5" numFmtId="0" xfId="0" applyAlignment="1" applyBorder="1" applyFont="1">
      <alignment horizontal="left" readingOrder="1" shrinkToFit="0" wrapText="1"/>
    </xf>
    <xf borderId="13" fillId="0" fontId="5" numFmtId="0" xfId="0" applyAlignment="1" applyBorder="1" applyFont="1">
      <alignment horizontal="left" readingOrder="1"/>
    </xf>
    <xf borderId="14" fillId="0" fontId="5" numFmtId="0" xfId="0" applyAlignment="1" applyBorder="1" applyFont="1">
      <alignment horizontal="left" readingOrder="1"/>
    </xf>
    <xf borderId="13" fillId="0" fontId="5" numFmtId="0" xfId="0" applyAlignment="1" applyBorder="1" applyFont="1">
      <alignment horizontal="left" readingOrder="1"/>
    </xf>
    <xf borderId="15" fillId="0" fontId="5" numFmtId="0" xfId="0" applyAlignment="1" applyBorder="1" applyFont="1">
      <alignment horizontal="left" readingOrder="1"/>
    </xf>
    <xf borderId="16" fillId="0" fontId="5" numFmtId="0" xfId="0" applyAlignment="1" applyBorder="1" applyFont="1">
      <alignment horizontal="left" readingOrder="1" shrinkToFit="0" wrapText="1"/>
    </xf>
    <xf borderId="16" fillId="0" fontId="5" numFmtId="0" xfId="0" applyAlignment="1" applyBorder="1" applyFont="1">
      <alignment horizontal="left" readingOrder="1"/>
    </xf>
    <xf borderId="17" fillId="0" fontId="5" numFmtId="0" xfId="0" applyAlignment="1" applyBorder="1" applyFont="1">
      <alignment horizontal="left" readingOrder="1"/>
    </xf>
    <xf borderId="8" fillId="3" fontId="10" numFmtId="0" xfId="0" applyAlignment="1" applyBorder="1" applyFont="1">
      <alignment horizontal="left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2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3" numFmtId="0" xfId="0" applyAlignment="1" applyBorder="1" applyFont="1">
      <alignment horizontal="center" shrinkToFit="0" vertical="center" wrapText="1"/>
    </xf>
    <xf borderId="8" fillId="6" fontId="14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3" numFmtId="0" xfId="0" applyAlignment="1" applyBorder="1" applyFont="1">
      <alignment horizontal="center" shrinkToFit="0" vertical="center" wrapText="1"/>
    </xf>
    <xf borderId="8" fillId="4" fontId="14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71"/>
  </cols>
  <sheetData>
    <row r="1" ht="14.25" customHeight="1"/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4" ht="14.25" customHeight="1"/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3" ht="14.25" customHeight="1"/>
    <row r="14" ht="14.25" customHeight="1"/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3" width="97.0"/>
    <col customWidth="1" min="4" max="4" width="28.0"/>
    <col customWidth="1" min="5" max="5" width="12.0"/>
    <col customWidth="1" min="6" max="6" width="26.0"/>
    <col customWidth="1" min="7" max="7" width="30.86"/>
    <col customWidth="1" min="8" max="8" width="16.0"/>
    <col customWidth="1" min="9" max="26" width="8.71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</row>
    <row r="4" ht="81.0" customHeight="1">
      <c r="A4" s="14">
        <v>1.0</v>
      </c>
      <c r="B4" s="15" t="s">
        <v>31</v>
      </c>
      <c r="C4" s="16" t="s">
        <v>32</v>
      </c>
      <c r="D4" s="17" t="s">
        <v>33</v>
      </c>
      <c r="E4" s="17">
        <v>1.0</v>
      </c>
      <c r="F4" s="17" t="s">
        <v>34</v>
      </c>
      <c r="G4" s="16" t="s">
        <v>35</v>
      </c>
      <c r="H4" s="18" t="s">
        <v>36</v>
      </c>
    </row>
    <row r="5" ht="72.0" customHeight="1">
      <c r="A5" s="19">
        <v>2.0</v>
      </c>
      <c r="B5" s="20" t="s">
        <v>37</v>
      </c>
      <c r="C5" s="21" t="s">
        <v>38</v>
      </c>
      <c r="D5" s="22" t="s">
        <v>39</v>
      </c>
      <c r="E5" s="22">
        <v>1.0</v>
      </c>
      <c r="F5" s="22" t="s">
        <v>40</v>
      </c>
      <c r="G5" s="21" t="s">
        <v>41</v>
      </c>
      <c r="H5" s="23" t="s">
        <v>36</v>
      </c>
    </row>
    <row r="6" ht="42.0" customHeight="1">
      <c r="A6" s="14">
        <v>3.0</v>
      </c>
      <c r="B6" s="20" t="s">
        <v>42</v>
      </c>
      <c r="C6" s="21" t="s">
        <v>43</v>
      </c>
      <c r="D6" s="22" t="s">
        <v>44</v>
      </c>
      <c r="E6" s="22">
        <v>2.0</v>
      </c>
      <c r="F6" s="22" t="s">
        <v>45</v>
      </c>
      <c r="G6" s="22" t="s">
        <v>46</v>
      </c>
      <c r="H6" s="23" t="s">
        <v>36</v>
      </c>
    </row>
    <row r="7" ht="42.0" customHeight="1">
      <c r="A7" s="19">
        <v>4.0</v>
      </c>
      <c r="B7" s="20" t="s">
        <v>47</v>
      </c>
      <c r="C7" s="21" t="s">
        <v>48</v>
      </c>
      <c r="D7" s="22" t="s">
        <v>49</v>
      </c>
      <c r="E7" s="24">
        <v>2.0</v>
      </c>
      <c r="F7" s="22" t="s">
        <v>50</v>
      </c>
      <c r="G7" s="22" t="s">
        <v>51</v>
      </c>
      <c r="H7" s="23" t="s">
        <v>36</v>
      </c>
    </row>
    <row r="8" ht="42.0" customHeight="1">
      <c r="A8" s="14">
        <v>5.0</v>
      </c>
      <c r="B8" s="20" t="s">
        <v>52</v>
      </c>
      <c r="C8" s="21" t="s">
        <v>53</v>
      </c>
      <c r="D8" s="22" t="s">
        <v>54</v>
      </c>
      <c r="E8" s="22">
        <v>3.0</v>
      </c>
      <c r="F8" s="22" t="s">
        <v>55</v>
      </c>
      <c r="G8" s="22" t="s">
        <v>56</v>
      </c>
      <c r="H8" s="23" t="s">
        <v>36</v>
      </c>
    </row>
    <row r="9" ht="42.0" customHeight="1">
      <c r="A9" s="19">
        <v>6.0</v>
      </c>
      <c r="B9" s="20" t="s">
        <v>57</v>
      </c>
      <c r="C9" s="21" t="s">
        <v>58</v>
      </c>
      <c r="D9" s="22" t="s">
        <v>39</v>
      </c>
      <c r="E9" s="22">
        <v>2.0</v>
      </c>
      <c r="F9" s="22" t="s">
        <v>59</v>
      </c>
      <c r="G9" s="22" t="s">
        <v>60</v>
      </c>
      <c r="H9" s="23" t="s">
        <v>36</v>
      </c>
    </row>
    <row r="10" ht="42.0" customHeight="1">
      <c r="A10" s="14">
        <v>7.0</v>
      </c>
      <c r="B10" s="25" t="s">
        <v>61</v>
      </c>
      <c r="C10" s="26" t="s">
        <v>62</v>
      </c>
      <c r="D10" s="27" t="s">
        <v>63</v>
      </c>
      <c r="E10" s="27">
        <v>1.0</v>
      </c>
      <c r="F10" s="27" t="s">
        <v>64</v>
      </c>
      <c r="G10" s="27" t="s">
        <v>65</v>
      </c>
      <c r="H10" s="28" t="s">
        <v>36</v>
      </c>
    </row>
    <row r="11" ht="42.0" customHeight="1">
      <c r="A11" s="19">
        <v>8.0</v>
      </c>
      <c r="B11" s="29"/>
      <c r="C11" s="30"/>
      <c r="D11" s="30"/>
      <c r="E11" s="31"/>
      <c r="F11" s="30"/>
      <c r="G11" s="30"/>
      <c r="H11" s="30"/>
    </row>
    <row r="12" ht="42.0" customHeight="1">
      <c r="A12" s="14">
        <v>9.0</v>
      </c>
      <c r="B12" s="29"/>
      <c r="C12" s="29"/>
      <c r="D12" s="29"/>
      <c r="E12" s="32"/>
      <c r="F12" s="29"/>
      <c r="G12" s="29"/>
      <c r="H12" s="29"/>
    </row>
    <row r="13" ht="42.0" customHeight="1">
      <c r="A13" s="19">
        <v>10.0</v>
      </c>
      <c r="B13" s="29"/>
      <c r="C13" s="30"/>
      <c r="D13" s="30"/>
      <c r="E13" s="31"/>
      <c r="F13" s="30"/>
      <c r="G13" s="30"/>
      <c r="H13" s="30"/>
    </row>
    <row r="14" ht="42.0" customHeight="1">
      <c r="A14" s="14">
        <v>11.0</v>
      </c>
      <c r="B14" s="29"/>
      <c r="C14" s="29"/>
      <c r="D14" s="29"/>
      <c r="E14" s="32"/>
      <c r="F14" s="29"/>
      <c r="G14" s="29"/>
      <c r="H14" s="29"/>
    </row>
    <row r="15" ht="42.0" customHeight="1">
      <c r="A15" s="19">
        <v>12.0</v>
      </c>
      <c r="B15" s="29"/>
      <c r="C15" s="30"/>
      <c r="D15" s="30"/>
      <c r="E15" s="31"/>
      <c r="F15" s="30"/>
      <c r="G15" s="30"/>
      <c r="H15" s="30"/>
    </row>
    <row r="16" ht="42.0" customHeight="1">
      <c r="A16" s="14">
        <v>13.0</v>
      </c>
      <c r="B16" s="29"/>
      <c r="C16" s="29"/>
      <c r="D16" s="29"/>
      <c r="E16" s="32"/>
      <c r="F16" s="29"/>
      <c r="G16" s="29"/>
      <c r="H16" s="29"/>
    </row>
    <row r="17" ht="42.0" customHeight="1">
      <c r="A17" s="19">
        <v>14.0</v>
      </c>
      <c r="B17" s="29"/>
      <c r="C17" s="30"/>
      <c r="D17" s="30"/>
      <c r="E17" s="31"/>
      <c r="F17" s="30"/>
      <c r="G17" s="30"/>
      <c r="H17" s="30"/>
    </row>
    <row r="18" ht="42.0" customHeight="1">
      <c r="A18" s="14">
        <v>15.0</v>
      </c>
      <c r="B18" s="29"/>
      <c r="C18" s="29"/>
      <c r="D18" s="29"/>
      <c r="E18" s="32"/>
      <c r="F18" s="29"/>
      <c r="G18" s="29"/>
      <c r="H18" s="29"/>
    </row>
    <row r="19" ht="42.0" customHeight="1">
      <c r="A19" s="19">
        <v>16.0</v>
      </c>
      <c r="B19" s="29"/>
      <c r="C19" s="30"/>
      <c r="D19" s="30"/>
      <c r="E19" s="31"/>
      <c r="F19" s="30"/>
      <c r="G19" s="30"/>
      <c r="H19" s="30"/>
    </row>
    <row r="20" ht="42.0" customHeight="1">
      <c r="A20" s="14">
        <v>17.0</v>
      </c>
      <c r="B20" s="29"/>
      <c r="C20" s="29"/>
      <c r="D20" s="29"/>
      <c r="E20" s="32"/>
      <c r="F20" s="29"/>
      <c r="G20" s="29"/>
      <c r="H20" s="29"/>
    </row>
    <row r="21" ht="42.0" customHeight="1">
      <c r="A21" s="19">
        <v>18.0</v>
      </c>
      <c r="B21" s="29"/>
      <c r="C21" s="30"/>
      <c r="D21" s="30"/>
      <c r="E21" s="31"/>
      <c r="F21" s="30"/>
      <c r="G21" s="30"/>
      <c r="H21" s="30"/>
    </row>
    <row r="22" ht="42.0" customHeight="1">
      <c r="A22" s="14">
        <v>19.0</v>
      </c>
      <c r="B22" s="29"/>
      <c r="C22" s="29"/>
      <c r="D22" s="29"/>
      <c r="E22" s="32"/>
      <c r="F22" s="29"/>
      <c r="G22" s="29"/>
      <c r="H22" s="29"/>
    </row>
    <row r="23" ht="42.0" customHeight="1">
      <c r="A23" s="19">
        <v>20.0</v>
      </c>
      <c r="B23" s="29"/>
      <c r="C23" s="30"/>
      <c r="D23" s="30"/>
      <c r="E23" s="31"/>
      <c r="F23" s="30"/>
      <c r="G23" s="30"/>
      <c r="H23" s="30"/>
    </row>
    <row r="24" ht="42.0" customHeight="1">
      <c r="A24" s="14">
        <v>21.0</v>
      </c>
      <c r="B24" s="29"/>
      <c r="C24" s="29"/>
      <c r="D24" s="29"/>
      <c r="E24" s="32"/>
      <c r="F24" s="29"/>
      <c r="G24" s="29"/>
      <c r="H24" s="29"/>
    </row>
    <row r="25" ht="42.0" customHeight="1">
      <c r="A25" s="19">
        <v>22.0</v>
      </c>
      <c r="B25" s="29"/>
      <c r="C25" s="30"/>
      <c r="D25" s="30"/>
      <c r="E25" s="31"/>
      <c r="F25" s="30"/>
      <c r="G25" s="30"/>
      <c r="H25" s="30"/>
    </row>
    <row r="26" ht="42.0" customHeight="1">
      <c r="A26" s="14">
        <v>23.0</v>
      </c>
      <c r="B26" s="29"/>
      <c r="C26" s="29"/>
      <c r="D26" s="29"/>
      <c r="E26" s="32"/>
      <c r="F26" s="29"/>
      <c r="G26" s="29"/>
      <c r="H26" s="29"/>
    </row>
    <row r="27" ht="42.0" customHeight="1">
      <c r="A27" s="19">
        <v>24.0</v>
      </c>
      <c r="B27" s="29"/>
      <c r="C27" s="30"/>
      <c r="D27" s="30"/>
      <c r="E27" s="31"/>
      <c r="F27" s="30"/>
      <c r="G27" s="30"/>
      <c r="H27" s="30"/>
    </row>
    <row r="28" ht="42.0" customHeight="1">
      <c r="A28" s="14">
        <v>25.0</v>
      </c>
      <c r="B28" s="29"/>
      <c r="C28" s="29"/>
      <c r="D28" s="29"/>
      <c r="E28" s="32"/>
      <c r="F28" s="29"/>
      <c r="G28" s="29"/>
      <c r="H28" s="29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conditionalFormatting sqref="E11:E28">
    <cfRule type="cellIs" dxfId="0" priority="1" operator="equal">
      <formula>0</formula>
    </cfRule>
  </conditionalFormatting>
  <conditionalFormatting sqref="E11:E28">
    <cfRule type="cellIs" dxfId="1" priority="2" operator="equal">
      <formula>1</formula>
    </cfRule>
  </conditionalFormatting>
  <conditionalFormatting sqref="E11:E28">
    <cfRule type="cellIs" dxfId="2" priority="3" operator="equal">
      <formula>2</formula>
    </cfRule>
  </conditionalFormatting>
  <conditionalFormatting sqref="E11:E28">
    <cfRule type="cellIs" dxfId="3" priority="4" operator="equal">
      <formula>3</formula>
    </cfRule>
  </conditionalFormatting>
  <conditionalFormatting sqref="E11:E28">
    <cfRule type="cellIs" dxfId="4" priority="5" operator="equal">
      <formula>4</formula>
    </cfRule>
  </conditionalFormatting>
  <dataValidations>
    <dataValidation type="list" allowBlank="1" showInputMessage="1" showErrorMessage="1" prompt="Valor invalido - Seleccione una heuristica de la lista." sqref="B11:B28">
      <formula1>Resumen!$B$13:$B$22</formula1>
    </dataValidation>
    <dataValidation type="decimal" allowBlank="1" showInputMessage="1" showErrorMessage="1" prompt="Escala de severidad - 0=No problema  1=Cosmético  2=Menor  3=Mayor  4=Catastrófico" sqref="E11:E28">
      <formula1>0.0</formula1>
      <formula2>4.0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9.57"/>
    <col customWidth="1" min="3" max="5" width="14.0"/>
    <col customWidth="1" min="6" max="6" width="18.0"/>
    <col customWidth="1" min="7" max="7" width="20.0"/>
    <col customWidth="1" min="8" max="26" width="8.71"/>
  </cols>
  <sheetData>
    <row r="1" ht="31.5" customHeight="1">
      <c r="B1" s="11" t="s">
        <v>66</v>
      </c>
      <c r="C1" s="2"/>
      <c r="D1" s="2"/>
      <c r="E1" s="2"/>
      <c r="F1" s="2"/>
      <c r="G1" s="3"/>
    </row>
    <row r="2" ht="15.75" customHeight="1">
      <c r="B2" s="12" t="s">
        <v>67</v>
      </c>
      <c r="C2" s="2"/>
      <c r="D2" s="2"/>
      <c r="E2" s="2"/>
      <c r="F2" s="2"/>
      <c r="G2" s="3"/>
    </row>
    <row r="3" ht="14.25" customHeight="1"/>
    <row r="4" ht="18.0" customHeight="1">
      <c r="B4" s="33" t="s">
        <v>68</v>
      </c>
      <c r="C4" s="2"/>
      <c r="D4" s="2"/>
      <c r="E4" s="2"/>
      <c r="F4" s="2"/>
      <c r="G4" s="3"/>
    </row>
    <row r="5" ht="21.75" customHeight="1">
      <c r="B5" s="34" t="s">
        <v>69</v>
      </c>
      <c r="C5" s="35">
        <f>COUNTA(Evaluacion!C4:C28)</f>
        <v>7</v>
      </c>
      <c r="D5" s="7"/>
    </row>
    <row r="6" ht="21.75" customHeight="1">
      <c r="B6" s="34" t="s">
        <v>70</v>
      </c>
      <c r="C6" s="36">
        <f>IFERROR(AVERAGE(Evaluacion!E4:E28),0)</f>
        <v>1.714285714</v>
      </c>
      <c r="D6" s="7"/>
    </row>
    <row r="7" ht="21.75" customHeight="1">
      <c r="B7" s="34" t="s">
        <v>71</v>
      </c>
      <c r="C7" s="35">
        <f>COUNTIF(Evaluacion!E4:E28,4)</f>
        <v>0</v>
      </c>
      <c r="D7" s="7"/>
    </row>
    <row r="8" ht="21.75" customHeight="1">
      <c r="B8" s="34" t="s">
        <v>72</v>
      </c>
      <c r="C8" s="35">
        <f>COUNTIF(Evaluacion!E4:E28,3)</f>
        <v>1</v>
      </c>
      <c r="D8" s="7"/>
    </row>
    <row r="9" ht="21.75" customHeight="1">
      <c r="B9" s="34" t="s">
        <v>73</v>
      </c>
      <c r="C9" s="35">
        <f>COUNTIFS(Evaluacion!E4:E28,"&gt;=1",Evaluacion!E4:E28,"&lt;=2")</f>
        <v>6</v>
      </c>
      <c r="D9" s="7"/>
    </row>
    <row r="10" ht="14.25" customHeight="1"/>
    <row r="11" ht="18.0" customHeight="1">
      <c r="B11" s="37" t="s">
        <v>74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75</v>
      </c>
      <c r="D12" s="13" t="s">
        <v>76</v>
      </c>
      <c r="E12" s="13" t="s">
        <v>77</v>
      </c>
      <c r="F12" s="13" t="s">
        <v>78</v>
      </c>
      <c r="G12" s="13" t="s">
        <v>79</v>
      </c>
    </row>
    <row r="13" ht="19.5" customHeight="1">
      <c r="B13" s="38" t="s">
        <v>80</v>
      </c>
      <c r="C13" s="39">
        <f>COUNTIF(Evaluacion!B4:B28,"*H1*")</f>
        <v>2</v>
      </c>
      <c r="D13" s="39">
        <f>IFERROR(_xludf.MAXIFS(Evaluacion!E4:E28,Evaluacion!B4:B28,"*H1*"),0)</f>
        <v>0</v>
      </c>
      <c r="E13" s="40">
        <f>IFERROR(AVERAGEIF(Evaluacion!B4:B28,"*H1*",Evaluacion!E4:E28),0)</f>
        <v>1</v>
      </c>
      <c r="F13" s="41" t="str">
        <f t="shared" ref="F13:F22" si="1">IF(C13=0,"Sin problemas",IF(D13&gt;=4,"CRITICO",IF(D13&gt;=3,"MAYOR","MENOR")))</f>
        <v>MENOR</v>
      </c>
      <c r="G13" s="41" t="str">
        <f t="shared" ref="G13:G22" si="2">IF(C13=0,"Sin problemas",IF(D13=4,"1 - Inmediata",IF(D13=3,"2 - Alta",IF(D13=2,"3 - Media","4 - Baja"))))</f>
        <v>4 - Baja</v>
      </c>
    </row>
    <row r="14" ht="19.5" customHeight="1">
      <c r="B14" s="42" t="s">
        <v>37</v>
      </c>
      <c r="C14" s="43">
        <f>COUNTIF(Evaluacion!B4:B28,"*H2*")</f>
        <v>1</v>
      </c>
      <c r="D14" s="43">
        <f>IFERROR(_xludf.MAXIFS(Evaluacion!E4:E28,Evaluacion!B4:B28,"*H2*"),0)</f>
        <v>0</v>
      </c>
      <c r="E14" s="44">
        <f>IFERROR(AVERAGEIF(Evaluacion!B4:B28,"*H2*",Evaluacion!E4:E28),0)</f>
        <v>1</v>
      </c>
      <c r="F14" s="45" t="str">
        <f t="shared" si="1"/>
        <v>MENOR</v>
      </c>
      <c r="G14" s="45" t="str">
        <f t="shared" si="2"/>
        <v>4 - Baja</v>
      </c>
    </row>
    <row r="15" ht="19.5" customHeight="1">
      <c r="B15" s="38" t="s">
        <v>42</v>
      </c>
      <c r="C15" s="39">
        <f>COUNTIF(Evaluacion!B4:B28,"*H3*")</f>
        <v>1</v>
      </c>
      <c r="D15" s="39">
        <f>IFERROR(_xludf.MAXIFS(Evaluacion!E4:E28,Evaluacion!B4:B28,"*H3*"),0)</f>
        <v>0</v>
      </c>
      <c r="E15" s="40">
        <f>IFERROR(AVERAGEIF(Evaluacion!B4:B28,"*H3*",Evaluacion!E4:E28),0)</f>
        <v>2</v>
      </c>
      <c r="F15" s="41" t="str">
        <f t="shared" si="1"/>
        <v>MENOR</v>
      </c>
      <c r="G15" s="41" t="str">
        <f t="shared" si="2"/>
        <v>4 - Baja</v>
      </c>
    </row>
    <row r="16" ht="19.5" customHeight="1">
      <c r="B16" s="42" t="s">
        <v>47</v>
      </c>
      <c r="C16" s="43">
        <f>COUNTIF(Evaluacion!B4:B28,"*H4*")</f>
        <v>1</v>
      </c>
      <c r="D16" s="43">
        <f>IFERROR(_xludf.MAXIFS(Evaluacion!E4:E28,Evaluacion!B4:B28,"*H4*"),0)</f>
        <v>0</v>
      </c>
      <c r="E16" s="44">
        <f>IFERROR(AVERAGEIF(Evaluacion!B4:B28,"*H4*",Evaluacion!E4:E28),0)</f>
        <v>2</v>
      </c>
      <c r="F16" s="45" t="str">
        <f t="shared" si="1"/>
        <v>MENOR</v>
      </c>
      <c r="G16" s="45" t="str">
        <f t="shared" si="2"/>
        <v>4 - Baja</v>
      </c>
    </row>
    <row r="17" ht="19.5" customHeight="1">
      <c r="B17" s="38" t="s">
        <v>52</v>
      </c>
      <c r="C17" s="39">
        <f>COUNTIF(Evaluacion!B4:B28,"*H5*")</f>
        <v>1</v>
      </c>
      <c r="D17" s="39">
        <f>IFERROR(_xludf.MAXIFS(Evaluacion!E4:E28,Evaluacion!B4:B28,"*H5*"),0)</f>
        <v>0</v>
      </c>
      <c r="E17" s="40">
        <f>IFERROR(AVERAGEIF(Evaluacion!B4:B28,"*H5*",Evaluacion!E4:E28),0)</f>
        <v>3</v>
      </c>
      <c r="F17" s="41" t="str">
        <f t="shared" si="1"/>
        <v>MENOR</v>
      </c>
      <c r="G17" s="41" t="str">
        <f t="shared" si="2"/>
        <v>4 - Baja</v>
      </c>
    </row>
    <row r="18" ht="19.5" customHeight="1">
      <c r="B18" s="42" t="s">
        <v>81</v>
      </c>
      <c r="C18" s="43">
        <f>COUNTIF(Evaluacion!B4:B28,"*H6*")</f>
        <v>0</v>
      </c>
      <c r="D18" s="43">
        <f>IFERROR(_xludf.MAXIFS(Evaluacion!E4:E28,Evaluacion!B4:B28,"*H6*"),0)</f>
        <v>0</v>
      </c>
      <c r="E18" s="44">
        <f>IFERROR(AVERAGEIF(Evaluacion!B4:B28,"*H6*",Evaluacion!E4:E28),0)</f>
        <v>0</v>
      </c>
      <c r="F18" s="45" t="str">
        <f t="shared" si="1"/>
        <v>Sin problemas</v>
      </c>
      <c r="G18" s="45" t="str">
        <f t="shared" si="2"/>
        <v>Sin problemas</v>
      </c>
    </row>
    <row r="19" ht="19.5" customHeight="1">
      <c r="B19" s="38" t="s">
        <v>57</v>
      </c>
      <c r="C19" s="39">
        <f>COUNTIF(Evaluacion!B4:B28,"*H7*")</f>
        <v>1</v>
      </c>
      <c r="D19" s="39">
        <f>IFERROR(_xludf.MAXIFS(Evaluacion!E4:E28,Evaluacion!B4:B28,"*H7*"),0)</f>
        <v>0</v>
      </c>
      <c r="E19" s="40">
        <f>IFERROR(AVERAGEIF(Evaluacion!B4:B28,"*H7*",Evaluacion!E4:E28),0)</f>
        <v>2</v>
      </c>
      <c r="F19" s="41" t="str">
        <f t="shared" si="1"/>
        <v>MENOR</v>
      </c>
      <c r="G19" s="41" t="str">
        <f t="shared" si="2"/>
        <v>4 - Baja</v>
      </c>
    </row>
    <row r="20" ht="19.5" customHeight="1">
      <c r="B20" s="42" t="s">
        <v>82</v>
      </c>
      <c r="C20" s="43">
        <f>COUNTIF(Evaluacion!B4:B28,"*H8*")</f>
        <v>0</v>
      </c>
      <c r="D20" s="43">
        <f>IFERROR(_xludf.MAXIFS(Evaluacion!E4:E28,Evaluacion!B4:B28,"*H8*"),0)</f>
        <v>0</v>
      </c>
      <c r="E20" s="44">
        <f>IFERROR(AVERAGEIF(Evaluacion!B4:B28,"*H8*",Evaluacion!E4:E28),0)</f>
        <v>0</v>
      </c>
      <c r="F20" s="45" t="str">
        <f t="shared" si="1"/>
        <v>Sin problemas</v>
      </c>
      <c r="G20" s="45" t="str">
        <f t="shared" si="2"/>
        <v>Sin problemas</v>
      </c>
    </row>
    <row r="21" ht="19.5" customHeight="1">
      <c r="B21" s="38" t="s">
        <v>83</v>
      </c>
      <c r="C21" s="39">
        <f>COUNTIF(Evaluacion!B4:B28,"*H9*")</f>
        <v>0</v>
      </c>
      <c r="D21" s="39">
        <f>IFERROR(_xludf.MAXIFS(Evaluacion!E4:E28,Evaluacion!B4:B28,"*H9*"),0)</f>
        <v>0</v>
      </c>
      <c r="E21" s="40">
        <f>IFERROR(AVERAGEIF(Evaluacion!B4:B28,"*H9*",Evaluacion!E4:E28),0)</f>
        <v>0</v>
      </c>
      <c r="F21" s="41" t="str">
        <f t="shared" si="1"/>
        <v>Sin problemas</v>
      </c>
      <c r="G21" s="41" t="str">
        <f t="shared" si="2"/>
        <v>Sin problemas</v>
      </c>
    </row>
    <row r="22" ht="19.5" customHeight="1">
      <c r="B22" s="42" t="s">
        <v>61</v>
      </c>
      <c r="C22" s="43">
        <f>COUNTIF(Evaluacion!B4:B28,"*H10*")</f>
        <v>1</v>
      </c>
      <c r="D22" s="43">
        <f>IFERROR(_xludf.MAXIFS(Evaluacion!E4:E28,Evaluacion!B4:B28,"*H10*"),0)</f>
        <v>0</v>
      </c>
      <c r="E22" s="44">
        <f>IFERROR(AVERAGEIF(Evaluacion!B4:B28,"*H10*",Evaluacion!E4:E28),0)</f>
        <v>1</v>
      </c>
      <c r="F22" s="45" t="str">
        <f t="shared" si="1"/>
        <v>MENOR</v>
      </c>
      <c r="G22" s="45" t="str">
        <f t="shared" si="2"/>
        <v>4 - Baja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71"/>
  </cols>
  <sheetData>
    <row r="1" ht="31.5" customHeight="1">
      <c r="B1" s="11" t="s">
        <v>84</v>
      </c>
      <c r="C1" s="2"/>
      <c r="D1" s="2"/>
      <c r="E1" s="2"/>
      <c r="F1" s="3"/>
    </row>
    <row r="2" ht="15.75" customHeight="1">
      <c r="B2" s="12" t="s">
        <v>85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86</v>
      </c>
      <c r="E3" s="13" t="s">
        <v>87</v>
      </c>
      <c r="F3" s="13" t="s">
        <v>88</v>
      </c>
    </row>
    <row r="4" ht="57.75" customHeight="1">
      <c r="B4" s="46" t="s">
        <v>89</v>
      </c>
      <c r="C4" s="47" t="s">
        <v>90</v>
      </c>
      <c r="D4" s="48" t="s">
        <v>91</v>
      </c>
      <c r="E4" s="48" t="s">
        <v>92</v>
      </c>
      <c r="F4" s="48" t="s">
        <v>93</v>
      </c>
    </row>
    <row r="5" ht="57.75" customHeight="1">
      <c r="B5" s="46" t="s">
        <v>94</v>
      </c>
      <c r="C5" s="47" t="s">
        <v>95</v>
      </c>
      <c r="D5" s="48" t="s">
        <v>96</v>
      </c>
      <c r="E5" s="48" t="s">
        <v>97</v>
      </c>
      <c r="F5" s="48" t="s">
        <v>98</v>
      </c>
    </row>
    <row r="6" ht="57.75" customHeight="1">
      <c r="B6" s="46" t="s">
        <v>99</v>
      </c>
      <c r="C6" s="47" t="s">
        <v>100</v>
      </c>
      <c r="D6" s="48" t="s">
        <v>101</v>
      </c>
      <c r="E6" s="48" t="s">
        <v>102</v>
      </c>
      <c r="F6" s="48" t="s">
        <v>103</v>
      </c>
    </row>
    <row r="7" ht="57.75" customHeight="1">
      <c r="B7" s="46" t="s">
        <v>104</v>
      </c>
      <c r="C7" s="47" t="s">
        <v>105</v>
      </c>
      <c r="D7" s="48" t="s">
        <v>106</v>
      </c>
      <c r="E7" s="48" t="s">
        <v>107</v>
      </c>
      <c r="F7" s="48" t="s">
        <v>108</v>
      </c>
    </row>
    <row r="8" ht="57.75" customHeight="1">
      <c r="B8" s="46" t="s">
        <v>109</v>
      </c>
      <c r="C8" s="47" t="s">
        <v>110</v>
      </c>
      <c r="D8" s="48" t="s">
        <v>111</v>
      </c>
      <c r="E8" s="48" t="s">
        <v>112</v>
      </c>
      <c r="F8" s="48" t="s">
        <v>113</v>
      </c>
    </row>
    <row r="9" ht="57.75" customHeight="1">
      <c r="B9" s="46" t="s">
        <v>114</v>
      </c>
      <c r="C9" s="47" t="s">
        <v>115</v>
      </c>
      <c r="D9" s="48" t="s">
        <v>116</v>
      </c>
      <c r="E9" s="48" t="s">
        <v>117</v>
      </c>
      <c r="F9" s="48" t="s">
        <v>118</v>
      </c>
    </row>
    <row r="10" ht="57.75" customHeight="1">
      <c r="B10" s="46" t="s">
        <v>119</v>
      </c>
      <c r="C10" s="47" t="s">
        <v>120</v>
      </c>
      <c r="D10" s="48" t="s">
        <v>121</v>
      </c>
      <c r="E10" s="48" t="s">
        <v>122</v>
      </c>
      <c r="F10" s="48" t="s">
        <v>123</v>
      </c>
    </row>
    <row r="11" ht="57.75" customHeight="1">
      <c r="B11" s="46" t="s">
        <v>124</v>
      </c>
      <c r="C11" s="47" t="s">
        <v>125</v>
      </c>
      <c r="D11" s="48" t="s">
        <v>126</v>
      </c>
      <c r="E11" s="48" t="s">
        <v>127</v>
      </c>
      <c r="F11" s="48" t="s">
        <v>128</v>
      </c>
    </row>
    <row r="12" ht="57.75" customHeight="1">
      <c r="B12" s="46" t="s">
        <v>129</v>
      </c>
      <c r="C12" s="47" t="s">
        <v>130</v>
      </c>
      <c r="D12" s="48" t="s">
        <v>131</v>
      </c>
      <c r="E12" s="48" t="s">
        <v>132</v>
      </c>
      <c r="F12" s="48" t="s">
        <v>133</v>
      </c>
    </row>
    <row r="13" ht="57.75" customHeight="1">
      <c r="B13" s="46" t="s">
        <v>134</v>
      </c>
      <c r="C13" s="47" t="s">
        <v>135</v>
      </c>
      <c r="D13" s="48" t="s">
        <v>136</v>
      </c>
      <c r="E13" s="48" t="s">
        <v>137</v>
      </c>
      <c r="F13" s="48" t="s">
        <v>138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2026-06-12T14:00:04Z</dcterms:created>
  <dc:creator>openpyxl</dc:creator>
</cp:coreProperties>
</file>